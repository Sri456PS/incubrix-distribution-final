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2="http://schemas.libreoffice.org/"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Start_Here" sheetId="1" state="visible" r:id="rId3"/>
    <sheet name="1_Your_Details" sheetId="2" state="visible" r:id="rId4"/>
    <sheet name="2_Must_haves" sheetId="3" state="visible" r:id="rId5"/>
    <sheet name="3_Levels" sheetId="4" state="visible" r:id="rId6"/>
    <sheet name="4_Integration" sheetId="5" state="visible" r:id="rId7"/>
    <sheet name="5_Metrics" sheetId="6" state="visible" r:id="rId8"/>
    <sheet name="6_Hard_cases" sheetId="7" state="visible" r:id="rId9"/>
    <sheet name="7_Declaration" sheetId="8" state="visible" r:id="rId10"/>
  </sheets>
  <calcPr iterateCount="100" refMode="A1" iterate="false" iterateDelta="0.0001" calcMode="auto" fullCalcOnLoad="1" forceFullCalc="1"/>
  <extLst>
    <ext uri="{7626C862-2A13-11E5-B345-FEFF819CDC9F}">
      <ns2:extCalcPr stringRefSyntax="ExcelA1"/>
    </ext>
  </extLst>
</workbook>
</file>

<file path=xl/sharedStrings.xml><?xml version="1.0" encoding="utf-8"?>
<sst xmlns="http://schemas.openxmlformats.org/spreadsheetml/2006/main" count="161" uniqueCount="147">
  <si>
    <t xml:space="preserve">IncuBrix Engineering Assessment 4 | Distribution: Long-Tail Destination Network | Submission Form</t>
  </si>
  <si>
    <t xml:space="preserve">This form is how you show us what you built. Fill it as you work. We verify every claim, so be precise.</t>
  </si>
  <si>
    <t xml:space="preserve">Read the assessment brief (PDF) first.</t>
  </si>
  <si>
    <t xml:space="preserve">1_Your_Details: your contact details and all links.</t>
  </si>
  <si>
    <t xml:space="preserve">2_Must_haves: mark each must-have Yes or No with evidence. Every one must pass to be selected.</t>
  </si>
  <si>
    <t xml:space="preserve">3_Levels: mark each item Yes / Partial / No with evidence. The level you reached is calculated for you.</t>
  </si>
  <si>
    <t xml:space="preserve">4_Integration: mark each Integration Standard point with evidence.</t>
  </si>
  <si>
    <t xml:space="preserve">5_Metrics: enter your measured numbers.  6_Hard_cases: say how your system handles each situation.</t>
  </si>
  <si>
    <t xml:space="preserve">7_Declaration: answer every statement and sign.</t>
  </si>
  <si>
    <t xml:space="preserve">Save as Assessment4_YourName.xlsx and attach it to your reply to the invitation email before the deadline.</t>
  </si>
  <si>
    <t xml:space="preserve">Colour key: YELLOW = you fill in.  GREEN = calculated automatically.  GREY = instructions or example.</t>
  </si>
  <si>
    <t xml:space="preserve">Your self-check (updates as you fill the form)</t>
  </si>
  <si>
    <t xml:space="preserve">Must-haves marked Yes</t>
  </si>
  <si>
    <t xml:space="preserve">Level reached</t>
  </si>
  <si>
    <t xml:space="preserve">Level marks claimed (40)</t>
  </si>
  <si>
    <t xml:space="preserve">Integration marks claimed (20)</t>
  </si>
  <si>
    <t xml:space="preserve">Self-assessed marks before our checks (60)</t>
  </si>
  <si>
    <t xml:space="preserve">We then verify your claims and add up to 20 marks for 5 hidden tests (screening total 80). Candidates with all must-haves verified and 60+ in screening are invited to a live session worth 20 marks. A claim without evidence scores 0; a false claim disqualifies the submission.</t>
  </si>
  <si>
    <t xml:space="preserve">IncuBrix Assessment 4 | Submission Form | Distribution: Long-Tail Destination Network</t>
  </si>
  <si>
    <t xml:space="preserve">Fill every YELLOW cell. Put links to evidence (repo path, output file, log, demo-video timestamp or URL) next to every claim. Save as Assessment4_&lt;YourName&gt;.xlsx and attach it to your reply email.</t>
  </si>
  <si>
    <t xml:space="preserve">Full name</t>
  </si>
  <si>
    <t xml:space="preserve">Email</t>
  </si>
  <si>
    <t xml:space="preserve">Phone</t>
  </si>
  <si>
    <t xml:space="preserve">College and degree</t>
  </si>
  <si>
    <t xml:space="preserve">Graduation year</t>
  </si>
  <si>
    <t xml:space="preserve">Live demo URL</t>
  </si>
  <si>
    <t xml:space="preserve">Live demo access token or login (if protected)</t>
  </si>
  <si>
    <t xml:space="preserve">Cold-start wait time (if any)</t>
  </si>
  <si>
    <t xml:space="preserve">Repository URL (private, reviewer invited)</t>
  </si>
  <si>
    <t xml:space="preserve">Demo video URL (max 8 min, unedited)</t>
  </si>
  <si>
    <t xml:space="preserve">REPORT.md link</t>
  </si>
  <si>
    <t xml:space="preserve">Compute used (laptop / cloud / GPU, with specs)</t>
  </si>
  <si>
    <t xml:space="preserve">Paid services used and total cost</t>
  </si>
  <si>
    <t xml:space="preserve">AI coding tools used (details in AI_USE.md)</t>
  </si>
  <si>
    <t xml:space="preserve">Approximate hours spent</t>
  </si>
  <si>
    <t xml:space="preserve">Must-haves - every one must pass</t>
  </si>
  <si>
    <t xml:space="preserve">Mark Met = Yes only if it fully works. Give links that let us check it in minutes.</t>
  </si>
  <si>
    <t xml:space="preserve">#</t>
  </si>
  <si>
    <t xml:space="preserve">Must-have</t>
  </si>
  <si>
    <t xml:space="preserve">Met?</t>
  </si>
  <si>
    <t xml:space="preserve">Evidence links (files, logs, tests, video timestamp)</t>
  </si>
  <si>
    <t xml:space="preserve">Notes / limits</t>
  </si>
  <si>
    <t xml:space="preserve">Ex.</t>
  </si>
  <si>
    <t xml:space="preserve">Example row - shows the expected format (do not edit)</t>
  </si>
  <si>
    <t xml:space="preserve">Yes</t>
  </si>
  <si>
    <t xml:space="preserve">repo/tests/test_length.py ; outputs/run_07/manifest.json ; demo video 02:15</t>
  </si>
  <si>
    <t xml:space="preserve">Fails above 290 s - see REPORT.md section 4</t>
  </si>
  <si>
    <t xml:space="preserve">Exact connector contract. Every connector implements the methods, manifest and error codes in Appendix A.
We verify: Our contract test suite runs against your service.</t>
  </si>
  <si>
    <t xml:space="preserve">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</si>
  <si>
    <t xml:space="preserve">Configuration, not code. Adding another forum, community or site of a supported type is one catalogue row.
We verify: We add a new instance during review.</t>
  </si>
  <si>
    <t xml:space="preserve">Rules checked before every post: frequency cap, self-promotion policy, link policy and AI-content disclosure. A post that breaks a rule is blocked or rescheduled with a reason.
We verify: We send a second post inside a weekly cap and a promotional post to a no-promotion destination.</t>
  </si>
  <si>
    <t xml:space="preserve">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</si>
  <si>
    <t xml:space="preserve">Safe retries. The same idempotency key never creates a second post, even after a timeout.
We verify: We force a timeout and retry.</t>
  </si>
  <si>
    <t xml:space="preserve">Secrets protected and simulation mode. Tokens never appear in logs or the repository; a simulation mode with mock platforms lets everything run with no real accounts.
We verify: We search logs and the repository; we run in simulation mode.</t>
  </si>
  <si>
    <t xml:space="preserve">Local test instances. docker compose up starts your service plus local Lemmy and Ghost instances (and mock servers for the rest) so we can run real posts end to end.
We verify: We run your compose file on a clean machine.</t>
  </si>
  <si>
    <t xml:space="preserve">Integration Standard followed and the live demo works for the whole review period.
We verify: See the Integration Standard section.</t>
  </si>
  <si>
    <t xml:space="preserve">Levels you reached</t>
  </si>
  <si>
    <t xml:space="preserve">A level counts only if every item in it is Yes, and only if the level before it counts. Core 15 marks, Advanced 15, Outstanding 10.</t>
  </si>
  <si>
    <t xml:space="preserve">Level</t>
  </si>
  <si>
    <t xml:space="preserve">Item</t>
  </si>
  <si>
    <t xml:space="preserve">Done?</t>
  </si>
  <si>
    <t xml:space="preserve">Evidence links</t>
  </si>
  <si>
    <t xml:space="preserve">How we can see it (command, URL, file)</t>
  </si>
  <si>
    <t xml:space="preserve">Core</t>
  </si>
  <si>
    <t xml:space="preserve">All must-haves pass.</t>
  </si>
  <si>
    <t xml:space="preserve">Each Core connector passes the full certification run (publish, confirm live URL, status, delete) with stored evidence.</t>
  </si>
  <si>
    <t xml:space="preserve">Errors from each platform are mapped to the shared error codes, including expired tokens, rate limits and rejected content.</t>
  </si>
  <si>
    <t xml:space="preserve">Advanced</t>
  </si>
  <si>
    <t xml:space="preserve">Catalogue import: a CSV of destinations is validated, de-duplicated (normalised URL plus platform), checked for reachability and enriched (for example member count); 1,000 rows import in under 5 minutes with a row-by-row error report.</t>
  </si>
  <si>
    <t xml:space="preserve">Rules capture: an AI step reads a community's rules page and proposes its posting rules; a person confirms them before they are used.</t>
  </si>
  <si>
    <t xml:space="preserve">Relevance score from 1 to 5 against IncuBrix's audience, with a short explanation for each destination.</t>
  </si>
  <si>
    <t xml:space="preserve">Tailoring: each destination gets a fitting title and text, for example discussion-first framing for forums, a canonical URL for articles, truncation at a word boundary, correct hashtag and mention style.</t>
  </si>
  <si>
    <t xml:space="preserve">Three more connectors from: Hashnode, Slack app, Kit or Mailchimp newsletter, MRSS video feed, PeerTube.</t>
  </si>
  <si>
    <t xml:space="preserve">Outstanding</t>
  </si>
  <si>
    <t xml:space="preserve">Recommender: given a content item, rank destinations by fit (audience, rules, past results) with a reason for each, and measure precision of the top 10 on a set you label.</t>
  </si>
  <si>
    <t xml:space="preserve">Metrics: fetch_metrics works on at least three connectors, normalised to views, likes, comments, shares and clicks.</t>
  </si>
  <si>
    <t xml:space="preserve">Recertification: a scheduler re-tests destinations before 30 days; a failing destination is demoted and excluded automatically, with a ticket or alert.</t>
  </si>
  <si>
    <t xml:space="preserve">Real catalogue: at least 150 real, relevant destinations researched with rules, relevance score and connector type (catalogue only - no posting to them).</t>
  </si>
  <si>
    <t xml:space="preserve">Level reached (calculated)</t>
  </si>
  <si>
    <t xml:space="preserve">Level marks claimed (out of 40)</t>
  </si>
  <si>
    <t xml:space="preserve">Integration Standard - 2 marks each (20)</t>
  </si>
  <si>
    <t xml:space="preserve">Yes = fully meets it (2), Partial = partly (1), No = missing (0).</t>
  </si>
  <si>
    <t xml:space="preserve">Point</t>
  </si>
  <si>
    <t xml:space="preserve">What exactly we check</t>
  </si>
  <si>
    <t xml:space="preserve">1. One-command start and test</t>
  </si>
  <si>
    <t xml:space="preserve">docker compose up starts the service and everything it needs (database, storage, local test servers). One command runs all tests (unit, integration and at least one end-to-end) with no API keys. A .env.example lists every setting.</t>
  </si>
  <si>
    <t xml:space="preserve">2. Documented HTTP API</t>
  </si>
  <si>
    <t xml:space="preserve">An openapi.yaml (OpenAPI 3.1) that matches the running service exactly. All routes under /api/v1/.</t>
  </si>
  <si>
    <t xml:space="preserve">3. Background jobs</t>
  </si>
  <si>
    <t xml:space="preserve">Anything slower than 2 seconds runs as a job: POST returns 202 with a job_id; GET /api/v1/jobs/{job_id} returns status (queued, running, succeeded, failed), progress 0-100 and result links. Optional callback URL, signed with HMAC-SHA256 in an X-IncuBrix-Signature header.</t>
  </si>
  <si>
    <t xml:space="preserve">4. Safe retries</t>
  </si>
  <si>
    <t xml:space="preserve">An Idempotency-Key header on every POST: sending the same request twice with the same key returns the same job and never does the work twice.</t>
  </si>
  <si>
    <t xml:space="preserve">5. Clear errors</t>
  </si>
  <si>
    <t xml:space="preserve">Errors are JSON: {"error": {"code", "message", "retryable", "details"}}. Codes are UPPER_SNAKE_CASE and listed in the README.</t>
  </si>
  <si>
    <t xml:space="preserve">6. Configuration</t>
  </si>
  <si>
    <t xml:space="preserve">All settings, paths, model names and limits come from environment variables or a config file. No hard-coded paths or keys.</t>
  </si>
  <si>
    <t xml:space="preserve">7. Files in, files out</t>
  </si>
  <si>
    <t xml:space="preserve">Inputs accepted as an upload or a URL. Outputs saved to S3-compatible storage (MinIO in the compose file is fine) and returned as download links.</t>
  </si>
  <si>
    <t xml:space="preserve">8. Logs and health</t>
  </si>
  <si>
    <t xml:space="preserve">Structured JSON logs with timestamp, level, job_id and the X-Correlation-Id from the request. GET /health and GET /ready endpoints.</t>
  </si>
  <si>
    <t xml:space="preserve">9. Output manifest</t>
  </si>
  <si>
    <t xml:space="preserve">Every result includes a JSON manifest: which models/providers and versions were used, settings, seed, timings, cost estimate, warnings, and licence/rights information.</t>
  </si>
  <si>
    <t xml:space="preserve">10. Batch runner</t>
  </si>
  <si>
    <t xml:space="preserve">A command-line tool that runs a folder or file of test inputs against the API and writes all results to one folder. We use this to test every submission the same way.</t>
  </si>
  <si>
    <t xml:space="preserve">Integration marks claimed (out of 20)</t>
  </si>
  <si>
    <t xml:space="preserve">Measured numbers</t>
  </si>
  <si>
    <t xml:space="preserve">Real measurements only. State the hardware and the number of runs. 'Not measured' is acceptable; a guessed number is not.</t>
  </si>
  <si>
    <t xml:space="preserve">Metric</t>
  </si>
  <si>
    <t xml:space="preserve">How to measure it</t>
  </si>
  <si>
    <t xml:space="preserve">Your value</t>
  </si>
  <si>
    <t xml:space="preserve">Hardware / runs / conditions</t>
  </si>
  <si>
    <t xml:space="preserve">Certification</t>
  </si>
  <si>
    <t xml:space="preserve">Number of destinations certified per connector, time per certification run, and evidence links.</t>
  </si>
  <si>
    <t xml:space="preserve">Reliability</t>
  </si>
  <si>
    <t xml:space="preserve">Publish success rate in simulation and on local instances; duplicate posts under retry tests (must be 0).</t>
  </si>
  <si>
    <t xml:space="preserve">Rule safety</t>
  </si>
  <si>
    <t xml:space="preserve">Rule violations caught versus missed on our rule test set (any missed violation is serious).</t>
  </si>
  <si>
    <t xml:space="preserve">Catalogue (Advanced)</t>
  </si>
  <si>
    <t xml:space="preserve">Rows imported, duplicates and errors found, time for 1,000 rows.</t>
  </si>
  <si>
    <t xml:space="preserve">Recommendation (Outstanding)</t>
  </si>
  <si>
    <t xml:space="preserve">Precision of the top 10 on your labelled set.</t>
  </si>
  <si>
    <t xml:space="preserve">Cost</t>
  </si>
  <si>
    <t xml:space="preserve">Any API or model cost per 1,000 publications.</t>
  </si>
  <si>
    <t xml:space="preserve">Hard cases you tested</t>
  </si>
  <si>
    <t xml:space="preserve">For each situation, say what your system does and link to the test output. We will run 5 hidden tests of these kinds.</t>
  </si>
  <si>
    <t xml:space="preserve">Situation</t>
  </si>
  <si>
    <t xml:space="preserve">Tested?</t>
  </si>
  <si>
    <t xml:space="preserve">What your system does</t>
  </si>
  <si>
    <t xml:space="preserve">A publish call that times out and is retried with the same idempotency key.</t>
  </si>
  <si>
    <t xml:space="preserve">A 429 response with a reset time; an expired token; content rejected by the platform.</t>
  </si>
  <si>
    <t xml:space="preserve">A title or body longer than the destination allows; media the destination does not accept.</t>
  </si>
  <si>
    <t xml:space="preserve">A second post inside a destination's frequency cap; a promotional post to a community that bans self-promotion.</t>
  </si>
  <si>
    <t xml:space="preserve">A platform that renames a field in its API: certification must fail and the destination must be demoted.</t>
  </si>
  <si>
    <t xml:space="preserve">A CSV with duplicates, bad URLs and mixed languages; a partner who revokes permission.</t>
  </si>
  <si>
    <t xml:space="preserve">A non-English community; a destination that requires AI-content disclosure.</t>
  </si>
  <si>
    <t xml:space="preserve">Declaration</t>
  </si>
  <si>
    <t xml:space="preserve">Answer every statement. Submissions without a completed declaration are not reviewed.</t>
  </si>
  <si>
    <t xml:space="preserve">This is my individual work. I can explain and change any part of it.</t>
  </si>
  <si>
    <t xml:space="preserve">Every claim in this form is true and backed by the evidence I linked.</t>
  </si>
  <si>
    <t xml:space="preserve">All AI tools, models, APIs, libraries, data and media are listed in SOURCES.md and AI_USE.md.</t>
  </si>
  <si>
    <t xml:space="preserve">Everything in my default path, and everything it outputs, is licensed for commercial use.</t>
  </si>
  <si>
    <t xml:space="preserve">No outputs were edited by hand and presented as automated.</t>
  </si>
  <si>
    <t xml:space="preserve">No real person's voice, face or content was used without consent, and no community was spammed.</t>
  </si>
  <si>
    <t xml:space="preserve">No API keys or secrets are in the repository, logs, screenshots or this form.</t>
  </si>
  <si>
    <t xml:space="preserve">My live demo and links will stay available until results are announced.</t>
  </si>
  <si>
    <t xml:space="preserve">Full name (as signature)</t>
  </si>
  <si>
    <t xml:space="preserve">Date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</si>
</sst>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10"/>
      <color rgb="FFFFFFFF"/>
      <name val="Arial"/>
      <family val="0"/>
      <charset val="1"/>
    </font>
    <font>
      <b val="true"/>
      <sz val="10"/>
      <color rgb="FFFFFFFF"/>
      <name val="Arial"/>
      <family val="0"/>
      <charset val="1"/>
    </font>
    <font>
      <sz val="10"/>
      <color rgb="FF14212B"/>
      <name val="Arial"/>
      <family val="0"/>
      <charset val="1"/>
    </font>
    <font>
      <b val="true"/>
      <sz val="10"/>
      <color rgb="FF14212B"/>
      <name val="Arial"/>
      <family val="0"/>
      <charset val="1"/>
    </font>
    <font>
      <i val="true"/>
      <sz val="10"/>
      <color rgb="FF5B6B78"/>
      <name val="Arial"/>
      <family val="0"/>
      <charset val="1"/>
    </font>
  </fonts>
  <fills count="8">
    <fill>
      <patternFill patternType="none"/>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3">
    <border diagonalUp="false" diagonalDown="false">
      <left/>
      <right/>
      <top/>
      <bottom/>
      <diagonal/>
    </border>
    <border diagonalUp="false" diagonalDown="false">
      <left style="thin">
        <color rgb="FFD5DDE3"/>
      </left>
      <right/>
      <top style="thin">
        <color rgb="FFD5DDE3"/>
      </top>
      <bottom style="thin">
        <color rgb="FFD5DDE3"/>
      </bottom>
      <diagonal/>
    </border>
    <border diagonalUp="false" diagonalDown="false">
      <left style="thin">
        <color rgb="FFD5DDE3"/>
      </left>
      <right style="thin">
        <color rgb="FFD5DDE3"/>
      </right>
      <top style="thin">
        <color rgb="FFD5DDE3"/>
      </top>
      <bottom style="thin">
        <color rgb="FFD5DD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6" fillId="5"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8" fillId="6" borderId="2"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false">
    <pageSetUpPr fitToPage="false"/>
  </sheetPr>
  <dimension ref="A1: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6"/>
    <col collapsed="false" customWidth="true" hidden="false" outlineLevel="0" max="3" min="3" style="0" width="16"/>
  </cols>
  <sheetData>
    <row r="1" customFormat="false" ht="24" hidden="false" customHeight="true" outlineLevel="0" collapsed="false">
      <c r="A1" s="1" t="s">
        <v>0</v>
      </c>
      <c r="B1" s="1"/>
      <c r="C1" s="1"/>
    </row>
    <row r="2" customFormat="false" ht="31.5" hidden="false" customHeight="true" outlineLevel="0" collapsed="false">
      <c r="A2" s="2" t="s">
        <v>1</v>
      </c>
      <c r="B2" s="2"/>
      <c r="C2" s="2"/>
    </row>
    <row r="4" customFormat="false" ht="19.5" hidden="false" customHeight="true" outlineLevel="0" collapsed="false">
      <c r="A4" s="3" t="n">
        <v>1</v>
      </c>
      <c r="B4" s="4" t="s">
        <v>2</v>
      </c>
    </row>
    <row r="5" customFormat="false" ht="19.5" hidden="false" customHeight="true" outlineLevel="0" collapsed="false">
      <c r="A5" s="3" t="n">
        <v>2</v>
      </c>
      <c r="B5" s="4" t="s">
        <v>3</v>
      </c>
    </row>
    <row r="6" customFormat="false" ht="19.5" hidden="false" customHeight="true" outlineLevel="0" collapsed="false">
      <c r="A6" s="3" t="n">
        <v>3</v>
      </c>
      <c r="B6" s="4" t="s">
        <v>4</v>
      </c>
    </row>
    <row r="7" customFormat="false" ht="19.5" hidden="false" customHeight="true" outlineLevel="0" collapsed="false">
      <c r="A7" s="3" t="n">
        <v>4</v>
      </c>
      <c r="B7" s="4" t="s">
        <v>5</v>
      </c>
    </row>
    <row r="8" customFormat="false" ht="19.5" hidden="false" customHeight="true" outlineLevel="0" collapsed="false">
      <c r="A8" s="3" t="n">
        <v>5</v>
      </c>
      <c r="B8" s="4" t="s">
        <v>6</v>
      </c>
    </row>
    <row r="9" customFormat="false" ht="19.5" hidden="false" customHeight="true" outlineLevel="0" collapsed="false">
      <c r="A9" s="3" t="n">
        <v>6</v>
      </c>
      <c r="B9" s="4" t="s">
        <v>7</v>
      </c>
    </row>
    <row r="10" customFormat="false" ht="19.5" hidden="false" customHeight="true" outlineLevel="0" collapsed="false">
      <c r="A10" s="3" t="n">
        <v>7</v>
      </c>
      <c r="B10" s="4" t="s">
        <v>8</v>
      </c>
    </row>
    <row r="11" customFormat="false" ht="19.5" hidden="false" customHeight="true" outlineLevel="0" collapsed="false">
      <c r="A11" s="3" t="n">
        <v>8</v>
      </c>
      <c r="B11" s="4" t="s">
        <v>9</v>
      </c>
    </row>
    <row r="13" customFormat="false" ht="15" hidden="false" customHeight="false" outlineLevel="0" collapsed="false">
      <c r="B13" s="5" t="s">
        <v>10</v>
      </c>
    </row>
    <row r="15" customFormat="false" ht="15" hidden="false" customHeight="false" outlineLevel="0" collapsed="false">
      <c r="B15" s="6" t="s">
        <v>11</v>
      </c>
      <c r="C15" s="7"/>
    </row>
    <row r="16" customFormat="false" ht="15" hidden="false" customHeight="false" outlineLevel="0" collapsed="false">
      <c r="B16" s="5" t="s">
        <v>12</v>
      </c>
      <c r="C16" s="8" t="str">
        <f aca="false">COUNTIF(2_Must_haves!C6:C14,"Yes")&amp;" of 9"</f>
        <v>4 of 9</v>
      </c>
    </row>
    <row r="17" customFormat="false" ht="15" hidden="false" customHeight="false" outlineLevel="0" collapsed="false">
      <c r="B17" s="5" t="s">
        <v>13</v>
      </c>
      <c r="C17" s="8" t="str">
        <f aca="false">3_Levels!C18</f>
        <v>Below Core</v>
      </c>
    </row>
    <row r="18" customFormat="false" ht="15" hidden="false" customHeight="false" outlineLevel="0" collapsed="false">
      <c r="B18" s="5" t="s">
        <v>14</v>
      </c>
      <c r="C18" s="8">
        <f aca="false">3_Levels!C19</f>
        <v>0</v>
      </c>
    </row>
    <row r="19" customFormat="false" ht="15" hidden="false" customHeight="false" outlineLevel="0" collapsed="false">
      <c r="B19" s="5" t="s">
        <v>15</v>
      </c>
      <c r="C19" s="8">
        <f aca="false">4_Integration!C15</f>
        <v>17</v>
      </c>
    </row>
    <row r="20" customFormat="false" ht="15" hidden="false" customHeight="false" outlineLevel="0" collapsed="false">
      <c r="B20" s="5" t="s">
        <v>16</v>
      </c>
      <c r="C20" s="8">
        <f aca="false">3_Levels!C19+4_Integration!C15</f>
        <v>17</v>
      </c>
    </row>
    <row r="22" customFormat="false" ht="43.5" hidden="false" customHeight="true" outlineLevel="0" collapsed="false">
      <c r="B22" s="9" t="s">
        <v>17</v>
      </c>
      <c r="C22" s="9"/>
    </row>
  </sheetData>
  <mergeCells count="3">
    <mergeCell ref="A1:C1"/>
    <mergeCell ref="A2:C2"/>
    <mergeCell ref="B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s>
  <sheetData>
    <row r="1" customFormat="false" ht="24" hidden="false" customHeight="true" outlineLevel="0" collapsed="false">
      <c r="A1" s="1" t="s">
        <v>18</v>
      </c>
      <c r="B1" s="1"/>
    </row>
    <row r="2" customFormat="false" ht="31.5" hidden="false" customHeight="true" outlineLevel="0" collapsed="false">
      <c r="A2" s="2" t="s">
        <v>19</v>
      </c>
      <c r="B2" s="2"/>
    </row>
    <row r="4" customFormat="false" ht="19.5" hidden="false" customHeight="true" outlineLevel="0" collapsed="false">
      <c r="A4" s="5" t="s">
        <v>20</v>
      </c>
      <c r="B4" s="10" t="inlineStr">
        <is>
          <t>Not provided by submitter</t>
        </is>
      </c>
    </row>
    <row r="5" customFormat="false" ht="19.5" hidden="false" customHeight="true" outlineLevel="0" collapsed="false">
      <c r="A5" s="5" t="s">
        <v>21</v>
      </c>
      <c r="B5" s="10" t="inlineStr">
        <is>
          <t>Not provided by submitter</t>
        </is>
      </c>
    </row>
    <row r="6" customFormat="false" ht="19.5" hidden="false" customHeight="true" outlineLevel="0" collapsed="false">
      <c r="A6" s="5" t="s">
        <v>22</v>
      </c>
      <c r="B6" s="10" t="inlineStr">
        <is>
          <t>Not provided by submitter</t>
        </is>
      </c>
    </row>
    <row r="7" customFormat="false" ht="19.5" hidden="false" customHeight="true" outlineLevel="0" collapsed="false">
      <c r="A7" s="5" t="s">
        <v>23</v>
      </c>
      <c r="B7" s="10" t="inlineStr">
        <is>
          <t>Not provided by submitter</t>
        </is>
      </c>
    </row>
    <row r="8" customFormat="false" ht="19.5" hidden="false" customHeight="true" outlineLevel="0" collapsed="false">
      <c r="A8" s="5" t="s">
        <v>24</v>
      </c>
      <c r="B8" s="10" t="inlineStr">
        <is>
          <t>Not provided by submitter</t>
        </is>
      </c>
    </row>
    <row r="9" customFormat="false" ht="19.5" hidden="false" customHeight="true" outlineLevel="0" collapsed="false">
      <c r="A9" s="5" t="s">
        <v>25</v>
      </c>
      <c r="B9" s="10" t="inlineStr">
        <is>
          <t>Not deployed; no live demo URL available</t>
        </is>
      </c>
    </row>
    <row r="10" customFormat="false" ht="19.5" hidden="false" customHeight="true" outlineLevel="0" collapsed="false">
      <c r="A10" s="5" t="s">
        <v>26</v>
      </c>
      <c r="B10" s="10" t="inlineStr">
        <is>
          <t>Not applicable; no protected live demo</t>
        </is>
      </c>
    </row>
    <row r="11" customFormat="false" ht="19.5" hidden="false" customHeight="true" outlineLevel="0" collapsed="false">
      <c r="A11" s="5" t="s">
        <v>27</v>
      </c>
      <c r="B11" s="10" t="inlineStr">
        <is>
          <t>Not measured</t>
        </is>
      </c>
    </row>
    <row r="12" customFormat="false" ht="19.5" hidden="false" customHeight="true" outlineLevel="0" collapsed="false">
      <c r="A12" s="5" t="s">
        <v>28</v>
      </c>
      <c r="B12" s="10" t="inlineStr">
        <is>
          <t>No hosted repository URL supplied</t>
        </is>
      </c>
    </row>
    <row r="13" customFormat="false" ht="19.5" hidden="false" customHeight="true" outlineLevel="0" collapsed="false">
      <c r="A13" s="5" t="s">
        <v>29</v>
      </c>
      <c r="B13" s="10" t="inlineStr">
        <is>
          <t>Not recorded</t>
        </is>
      </c>
    </row>
    <row r="14" customFormat="false" ht="19.5" hidden="false" customHeight="true" outlineLevel="0" collapsed="false">
      <c r="A14" s="5" t="s">
        <v>30</v>
      </c>
      <c r="B14" s="10" t="inlineStr">
        <is>
          <t>REPORT.md</t>
        </is>
      </c>
    </row>
    <row r="15" customFormat="false" ht="19.5" hidden="false" customHeight="true" outlineLevel="0" collapsed="false">
      <c r="A15" s="5" t="s">
        <v>31</v>
      </c>
      <c r="B15" s="10" t="inlineStr">
        <is>
          <t>Python 3.12 test environment; hardware specifications not captured</t>
        </is>
      </c>
    </row>
    <row r="16" customFormat="false" ht="19.5" hidden="false" customHeight="true" outlineLevel="0" collapsed="false">
      <c r="A16" s="5" t="s">
        <v>32</v>
      </c>
      <c r="B16" s="10" t="inlineStr">
        <is>
          <t>No external API/model charges in tested path; compute/hosting costs not measured</t>
        </is>
      </c>
    </row>
    <row r="17" customFormat="false" ht="19.5" hidden="false" customHeight="true" outlineLevel="0" collapsed="false">
      <c r="A17" s="5" t="s">
        <v>33</v>
      </c>
      <c r="B17" s="10" t="inlineStr">
        <is>
          <t>OpenAI Codex coding assistance; see AI_USE.md</t>
        </is>
      </c>
    </row>
    <row r="18" customFormat="false" ht="19.5" hidden="false" customHeight="true" outlineLevel="0" collapsed="false">
      <c r="A18" s="5" t="s">
        <v>34</v>
      </c>
      <c r="B18" s="10" t="inlineStr">
        <is>
          <t>Not tracked</t>
        </is>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10"/>
    <col collapsed="false" customWidth="true" hidden="false" outlineLevel="0" max="4" min="4" style="0" width="50"/>
    <col collapsed="false" customWidth="true" hidden="false" outlineLevel="0" max="5" min="5" style="0" width="36"/>
  </cols>
  <sheetData>
    <row r="1" customFormat="false" ht="24" hidden="false" customHeight="true" outlineLevel="0" collapsed="false">
      <c r="A1" s="1" t="s">
        <v>35</v>
      </c>
      <c r="B1" s="1"/>
      <c r="C1" s="1"/>
      <c r="D1" s="1"/>
      <c r="E1" s="1"/>
    </row>
    <row r="2" customFormat="false" ht="31.5" hidden="false" customHeight="true" outlineLevel="0" collapsed="false">
      <c r="A2" s="2" t="s">
        <v>36</v>
      </c>
      <c r="B2" s="2"/>
      <c r="C2" s="2"/>
      <c r="D2" s="2"/>
      <c r="E2" s="2"/>
    </row>
    <row r="4" customFormat="false" ht="30" hidden="false" customHeight="true" outlineLevel="0" collapsed="false">
      <c r="A4" s="6" t="s">
        <v>37</v>
      </c>
      <c r="B4" s="6" t="s">
        <v>38</v>
      </c>
      <c r="C4" s="6" t="s">
        <v>39</v>
      </c>
      <c r="D4" s="6" t="s">
        <v>40</v>
      </c>
      <c r="E4" s="6" t="s">
        <v>41</v>
      </c>
    </row>
    <row r="5" customFormat="false" ht="23.85" hidden="false" customHeight="false" outlineLevel="0" collapsed="false">
      <c r="A5" s="11" t="s">
        <v>42</v>
      </c>
      <c r="B5" s="11" t="s">
        <v>43</v>
      </c>
      <c r="C5" s="11" t="s">
        <v>44</v>
      </c>
      <c r="D5" s="11" t="s">
        <v>45</v>
      </c>
      <c r="E5" s="11" t="s">
        <v>46</v>
      </c>
    </row>
    <row r="6" customFormat="false" ht="42" hidden="false" customHeight="true" outlineLevel="0" collapsed="false">
      <c r="A6" s="4" t="n">
        <v>1</v>
      </c>
      <c r="B6" s="4" t="s">
        <v>47</v>
      </c>
      <c r="C6" s="10" t="inlineStr">
        <is>
          <t>No</t>
        </is>
      </c>
      <c r="D6" s="10" t="inlineStr">
        <is>
          <t>tests/test_contracts.py; tests/test_api.py; test-pack/pytest-submission-run.log; test-pack/pytest-submission-results.xml</t>
        </is>
      </c>
      <c r="E6" s="10" t="inlineStr">
        <is>
          <t>Manifest keys/schema and selected Discourse calls are tested. Full request/response contract coverage for every method/connector is incomplete; adapters also write to the distribution DB.</t>
        </is>
      </c>
    </row>
    <row r="7" customFormat="false" ht="97.5" hidden="false" customHeight="true" outlineLevel="0" collapsed="false">
      <c r="A7" s="4" t="n">
        <v>2</v>
      </c>
      <c r="B7" s="4" t="s">
        <v>48</v>
      </c>
      <c r="C7" s="10" t="inlineStr">
        <is>
          <t>No</t>
        </is>
      </c>
      <c r="D7" s="10" t="inlineStr">
        <is>
          <t>tests/test_api.py; test-pack/pytest-submission-run.log; test-pack/pytest-submission-results.xml</t>
        </is>
      </c>
      <c r="E7" s="10" t="inlineStr">
        <is>
          <t>All six simulation certification workflows passed. Simulated evidence only; no live provider certifications or local-provider runs.</t>
        </is>
      </c>
    </row>
    <row r="8" customFormat="false" ht="42" hidden="false" customHeight="true" outlineLevel="0" collapsed="false">
      <c r="A8" s="4" t="n">
        <v>3</v>
      </c>
      <c r="B8" s="4" t="s">
        <v>49</v>
      </c>
      <c r="C8" s="10" t="inlineStr">
        <is>
          <t>Yes</t>
        </is>
      </c>
      <c r="D8" s="10" t="inlineStr">
        <is>
          <t>tests/test_api.py; app/main.py; app/database.py; test-pack/pytest-submission-results.xml</t>
        </is>
      </c>
      <c r="E8" s="10" t="inlineStr">
        <is>
          <t>Destination creation is configuration-driven and verified by API tests.</t>
        </is>
      </c>
    </row>
    <row r="9" customFormat="false" ht="69.75" hidden="false" customHeight="true" outlineLevel="0" collapsed="false">
      <c r="A9" s="4" t="n">
        <v>4</v>
      </c>
      <c r="B9" s="4" t="s">
        <v>50</v>
      </c>
      <c r="C9" s="10" t="inlineStr">
        <is>
          <t>Yes</t>
        </is>
      </c>
      <c r="D9" s="10" t="inlineStr">
        <is>
          <t>tests/test_api.py; tests/test_policy.py; app/policy.py; test-pack/pytest-submission-results.xml</t>
        </is>
      </c>
      <c r="E9" s="10" t="inlineStr">
        <is>
          <t>Frequency cap, promotion, link policy, and required AI disclosure enforcement are covered in tests.</t>
        </is>
      </c>
    </row>
    <row r="10" customFormat="false" ht="84" hidden="false" customHeight="true" outlineLevel="0" collapsed="false">
      <c r="A10" s="4" t="n">
        <v>5</v>
      </c>
      <c r="B10" s="4" t="s">
        <v>51</v>
      </c>
      <c r="C10" s="10" t="inlineStr">
        <is>
          <t>No</t>
        </is>
      </c>
      <c r="D10" s="10" t="inlineStr">
        <is>
          <t>app/safety.py; tests/test_api.py; tests/test_failures.py; REPORT.md</t>
        </is>
      </c>
      <c r="E10" s="10" t="inlineStr">
        <is>
          <t>Default simulation and authorized-sandbox guard are tested. Local provider instances, review-period demo, and deletion-within-10-minutes evidence are unavailable.</t>
        </is>
      </c>
    </row>
    <row r="11" customFormat="false" ht="42" hidden="false" customHeight="true" outlineLevel="0" collapsed="false">
      <c r="A11" s="4" t="n">
        <v>6</v>
      </c>
      <c r="B11" s="4" t="s">
        <v>52</v>
      </c>
      <c r="C11" s="10" t="inlineStr">
        <is>
          <t>Yes</t>
        </is>
      </c>
      <c r="D11" s="10" t="inlineStr">
        <is>
          <t>tests/test_failures.py; tests/test_api.py; test-pack/pytest-submission-results.xml</t>
        </is>
      </c>
      <c r="E11" s="10" t="inlineStr">
        <is>
          <t>Forced timeout + same-key replay called dispatch once; simulated replay returns cached result.</t>
        </is>
      </c>
    </row>
    <row r="12" customFormat="false" ht="69.75" hidden="false" customHeight="true" outlineLevel="0" collapsed="false">
      <c r="A12" s="4" t="n">
        <v>7</v>
      </c>
      <c r="B12" s="4" t="s">
        <v>53</v>
      </c>
      <c r="C12" s="10" t="inlineStr">
        <is>
          <t>Yes</t>
        </is>
      </c>
      <c r="D12" s="10" t="inlineStr">
        <is>
          <t>app/config.py; app/safety.py; tests/test_api.py; tests/test_failures.py; .env.example; test-pack/pytest-submission-results.xml</t>
        </is>
      </c>
      <c r="E12" s="10" t="inlineStr">
        <is>
          <t>Credentials are environment-configured and simulation works without real accounts; tests check secret rejection/redaction. No independent repository-wide secret scan claimed.</t>
        </is>
      </c>
    </row>
    <row r="13" customFormat="false" ht="55.5" hidden="false" customHeight="true" outlineLevel="0" collapsed="false">
      <c r="A13" s="4" t="n">
        <v>8</v>
      </c>
      <c r="B13" s="4" t="s">
        <v>54</v>
      </c>
      <c r="C13" s="10" t="inlineStr">
        <is>
          <t>No</t>
        </is>
      </c>
      <c r="D13" s="10" t="inlineStr">
        <is>
          <t>docker-compose.yml; Dockerfile; REPORT.md</t>
        </is>
      </c>
      <c r="E13" s="10" t="inlineStr">
        <is>
          <t>Compose syntax parses, but image build/start is blocked by Docker sandbox access errors; explicit mock-server services and verified local Lemmy/Ghost runs are absent.</t>
        </is>
      </c>
    </row>
    <row r="14" customFormat="false" ht="42" hidden="false" customHeight="true" outlineLevel="0" collapsed="false">
      <c r="A14" s="4" t="n">
        <v>9</v>
      </c>
      <c r="B14" s="4" t="s">
        <v>55</v>
      </c>
      <c r="C14" s="10" t="inlineStr">
        <is>
          <t>No</t>
        </is>
      </c>
      <c r="D14" s="10" t="inlineStr">
        <is>
          <t>openapi.yaml; README.md; REPORT.md; test-pack/pytest-submission-run.log</t>
        </is>
      </c>
      <c r="E14" s="10" t="inlineStr">
        <is>
          <t>Local API checks pass, but no live demo URL or access for the full review period is available.</t>
        </is>
      </c>
    </row>
  </sheetData>
  <mergeCells count="2">
    <mergeCell ref="A1:E1"/>
    <mergeCell ref="A2:E2"/>
  </mergeCells>
  <dataValidations count="1">
    <dataValidation allowBlank="true" errorStyle="stop" operator="between" showDropDown="false" showErrorMessage="false" showInputMessage="false" sqref="C6:C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11"/>
    <col collapsed="false" customWidth="true" hidden="false" outlineLevel="0" max="4" min="4" style="0" width="44"/>
    <col collapsed="false" customWidth="true" hidden="false" outlineLevel="0" max="5" min="5" style="0" width="34"/>
  </cols>
  <sheetData>
    <row r="1" customFormat="false" ht="24" hidden="false" customHeight="true" outlineLevel="0" collapsed="false">
      <c r="A1" s="1" t="s">
        <v>56</v>
      </c>
      <c r="B1" s="1"/>
      <c r="C1" s="1"/>
      <c r="D1" s="1"/>
      <c r="E1" s="1"/>
    </row>
    <row r="2" customFormat="false" ht="31.5" hidden="false" customHeight="true" outlineLevel="0" collapsed="false">
      <c r="A2" s="2" t="s">
        <v>57</v>
      </c>
      <c r="B2" s="2"/>
      <c r="C2" s="2"/>
      <c r="D2" s="2"/>
      <c r="E2" s="2"/>
    </row>
    <row r="4" customFormat="false" ht="30" hidden="false" customHeight="true" outlineLevel="0" collapsed="false">
      <c r="A4" s="6" t="s">
        <v>58</v>
      </c>
      <c r="B4" s="6" t="s">
        <v>59</v>
      </c>
      <c r="C4" s="6" t="s">
        <v>60</v>
      </c>
      <c r="D4" s="6" t="s">
        <v>61</v>
      </c>
      <c r="E4" s="6" t="s">
        <v>62</v>
      </c>
    </row>
    <row r="5" customFormat="false" ht="19.5" hidden="false" customHeight="true" outlineLevel="0" collapsed="false">
      <c r="A5" s="5" t="s">
        <v>63</v>
      </c>
      <c r="B5" s="4" t="s">
        <v>64</v>
      </c>
      <c r="C5" s="10" t="inlineStr">
        <is>
          <t>No</t>
        </is>
      </c>
      <c r="D5" s="10" t="inlineStr">
        <is>
          <t>REQUIREMENTS.md; test-pack/pytest-submission-results.xml</t>
        </is>
      </c>
      <c r="E5" s="10" t="inlineStr">
        <is>
          <t>Four of nine must-haves are marked Yes; all must-haves do not pass.</t>
        </is>
      </c>
    </row>
    <row r="6" customFormat="false" ht="42" hidden="false" customHeight="true" outlineLevel="0" collapsed="false">
      <c r="A6" s="5" t="s">
        <v>63</v>
      </c>
      <c r="B6" s="4" t="s">
        <v>65</v>
      </c>
      <c r="C6" s="10" t="inlineStr">
        <is>
          <t>No</t>
        </is>
      </c>
      <c r="D6" s="10" t="inlineStr">
        <is>
          <t>tests/test_api.py; test-pack/pytest-submission-results.xml; REPORT.md</t>
        </is>
      </c>
      <c r="E6" s="10" t="inlineStr">
        <is>
          <t>Six simulated certification workflows pass, but full live URL/status/delete certification evidence for each provider is not available.</t>
        </is>
      </c>
    </row>
    <row r="7" customFormat="false" ht="42" hidden="false" customHeight="true" outlineLevel="0" collapsed="false">
      <c r="A7" s="5" t="s">
        <v>63</v>
      </c>
      <c r="B7" s="4" t="s">
        <v>66</v>
      </c>
      <c r="C7" s="10" t="inlineStr">
        <is>
          <t>Yes</t>
        </is>
      </c>
      <c r="D7" s="10" t="inlineStr">
        <is>
          <t>tests/test_contracts.py; tests/test_failures.py; test-pack/pytest-submission-results.xml</t>
        </is>
      </c>
      <c r="E7" s="10" t="inlineStr">
        <is>
          <t>Shared error-code presence and selected 401/422/503 mappings are tested; no live provider error run.</t>
        </is>
      </c>
    </row>
    <row r="8" customFormat="false" ht="69.75" hidden="false" customHeight="true" outlineLevel="0" collapsed="false">
      <c r="A8" s="5" t="s">
        <v>67</v>
      </c>
      <c r="B8" s="4" t="s">
        <v>68</v>
      </c>
      <c r="C8" s="10" t="inlineStr">
        <is>
          <t>Partial</t>
        </is>
      </c>
      <c r="D8" s="10" t="inlineStr">
        <is>
          <t>tests/test_catalogue.py; test-pack/pytest-submission-results.xml; REQUIREMENTS.md</t>
        </is>
      </c>
      <c r="E8" s="10" t="inlineStr">
        <is>
          <t>1,000-row import test passes under 300 seconds with reachability stubbed. Exact duration is not retained; real network reachability and enrichment are unverified.</t>
        </is>
      </c>
    </row>
    <row r="9" customFormat="false" ht="42" hidden="false" customHeight="true" outlineLevel="0" collapsed="false">
      <c r="A9" s="5" t="s">
        <v>67</v>
      </c>
      <c r="B9" s="4" t="s">
        <v>69</v>
      </c>
      <c r="C9" s="10" t="inlineStr">
        <is>
          <t>Partial</t>
        </is>
      </c>
      <c r="D9" s="10" t="inlineStr">
        <is>
          <t>tests/test_api.py; app/main.py; REQUIREMENTS.md</t>
        </is>
      </c>
      <c r="E9" s="10" t="inlineStr">
        <is>
          <t>Deterministic proposal from supplied rules text and human confirmation are tested; no AI rules-page reader/crawler.</t>
        </is>
      </c>
    </row>
    <row r="10" customFormat="false" ht="27.75" hidden="false" customHeight="true" outlineLevel="0" collapsed="false">
      <c r="A10" s="5" t="s">
        <v>67</v>
      </c>
      <c r="B10" s="4" t="s">
        <v>70</v>
      </c>
      <c r="C10" s="10" t="inlineStr">
        <is>
          <t>Yes</t>
        </is>
      </c>
      <c r="D10" s="10" t="inlineStr">
        <is>
          <t>tests/test_catalogue.py; tests/test_policy.py; app/policy.py; test-pack/pytest-submission-results.xml</t>
        </is>
      </c>
      <c r="E10" s="10" t="inlineStr">
        <is>
          <t>Bounded 1?5 relevance score and explanatory reason are implemented and tested.</t>
        </is>
      </c>
    </row>
    <row r="11" customFormat="false" ht="55.5" hidden="false" customHeight="true" outlineLevel="0" collapsed="false">
      <c r="A11" s="5" t="s">
        <v>67</v>
      </c>
      <c r="B11" s="4" t="s">
        <v>71</v>
      </c>
      <c r="C11" s="10" t="inlineStr">
        <is>
          <t>Partial</t>
        </is>
      </c>
      <c r="D11" s="10" t="inlineStr">
        <is>
          <t>tests/test_policy.py; app/policy.py; REQUIREMENTS.md</t>
        </is>
      </c>
      <c r="E11" s="10" t="inlineStr">
        <is>
          <t>Title/body word-boundary tailoring and disclosure exist; discussion-first framing, canonical URL tailoring, and hashtag/mention adaptation are incomplete.</t>
        </is>
      </c>
    </row>
    <row r="12" customFormat="false" ht="27.75" hidden="false" customHeight="true" outlineLevel="0" collapsed="false">
      <c r="A12" s="5" t="s">
        <v>67</v>
      </c>
      <c r="B12" s="4" t="s">
        <v>72</v>
      </c>
      <c r="C12" s="10" t="inlineStr">
        <is>
          <t>No</t>
        </is>
      </c>
      <c r="D12" s="10" t="inlineStr">
        <is>
          <t>connectors/; REQUIREMENTS.md</t>
        </is>
      </c>
      <c r="E12" s="10" t="inlineStr">
        <is>
          <t>Only the six required Core connectors are implemented; no three additional Advanced connectors.</t>
        </is>
      </c>
    </row>
    <row r="13" customFormat="false" ht="42" hidden="false" customHeight="true" outlineLevel="0" collapsed="false">
      <c r="A13" s="5" t="s">
        <v>73</v>
      </c>
      <c r="B13" s="4" t="s">
        <v>74</v>
      </c>
      <c r="C13" s="10" t="inlineStr">
        <is>
          <t>Partial</t>
        </is>
      </c>
      <c r="D13" s="10" t="inlineStr">
        <is>
          <t>tests/test_api.py; test-pack/pytest-submission-results.xml; test-pack/INDEX.md</t>
        </is>
      </c>
      <c r="E13" s="10" t="inlineStr">
        <is>
          <t>One supplied labeled case yielded P@1=1.0; not a representative Precision@10 benchmark.</t>
        </is>
      </c>
    </row>
    <row r="14" customFormat="false" ht="27.75" hidden="false" customHeight="true" outlineLevel="0" collapsed="false">
      <c r="A14" s="5" t="s">
        <v>73</v>
      </c>
      <c r="B14" s="4" t="s">
        <v>75</v>
      </c>
      <c r="C14" s="10" t="inlineStr">
        <is>
          <t>Partial</t>
        </is>
      </c>
      <c r="D14" s="10" t="inlineStr">
        <is>
          <t>app/connectors.py; REQUIREMENTS.md; REPORT.md</t>
        </is>
      </c>
      <c r="E14" s="10" t="inlineStr">
        <is>
          <t>Metrics adapters exist for Discourse, Lemmy, and DEV.to; live calls and normalized metric results are unverified.</t>
        </is>
      </c>
    </row>
    <row r="15" customFormat="false" ht="42" hidden="false" customHeight="true" outlineLevel="0" collapsed="false">
      <c r="A15" s="5" t="s">
        <v>73</v>
      </c>
      <c r="B15" s="4" t="s">
        <v>76</v>
      </c>
      <c r="C15" s="10" t="inlineStr">
        <is>
          <t>Partial</t>
        </is>
      </c>
      <c r="D15" s="10" t="inlineStr">
        <is>
          <t>app/jobs.py; app/database.py; REQUIREMENTS.md</t>
        </is>
      </c>
      <c r="E15" s="10" t="inlineStr">
        <is>
          <t>Scheduled certification path exists but is untested; no external ticket/alert integration is verified.</t>
        </is>
      </c>
    </row>
    <row r="16" customFormat="false" ht="42" hidden="false" customHeight="true" outlineLevel="0" collapsed="false">
      <c r="A16" s="5" t="s">
        <v>73</v>
      </c>
      <c r="B16" s="4" t="s">
        <v>77</v>
      </c>
      <c r="C16" s="10" t="inlineStr">
        <is>
          <t>No</t>
        </is>
      </c>
      <c r="D16" s="10" t="inlineStr">
        <is>
          <t>REQUIREMENTS.md; REPORT.md</t>
        </is>
      </c>
      <c r="E16" s="10" t="inlineStr">
        <is>
          <t>No researched 150-destination catalogue or supporting research evidence is present.</t>
        </is>
      </c>
    </row>
    <row r="18" customFormat="false" ht="15" hidden="false" customHeight="false" outlineLevel="0" collapsed="false">
      <c r="B18" s="5" t="s">
        <v>78</v>
      </c>
      <c r="C18" s="8" t="str">
        <f aca="false">IF(AND(AND(COUNTIF(C5:C7,"Yes")=3,COUNTIF(C8:C12,"Yes")=5),COUNTIF(C13:C16,"Yes")=4),"Outstanding",IF(AND(COUNTIF(C5:C7,"Yes")=3,COUNTIF(C8:C12,"Yes")=5),"Advanced",IF(COUNTIF(C5:C7,"Yes")=3,"Core","Below Core")))</f>
        <v>Below Core</v>
      </c>
      <c r="D18" s="8"/>
    </row>
    <row r="19" customFormat="false" ht="15" hidden="false" customHeight="false" outlineLevel="0" collapsed="false">
      <c r="B19" s="5" t="s">
        <v>79</v>
      </c>
      <c r="C19" s="8">
        <f aca="false">IF(AND(AND(COUNTIF(C5:C7,"Yes")=3,COUNTIF(C8:C12,"Yes")=5),COUNTIF(C13:C16,"Yes")=4),40,IF(AND(COUNTIF(C5:C7,"Yes")=3,COUNTIF(C8:C12,"Yes")=5),30,IF(COUNTIF(C5:C7,"Yes")=3,15,0)))</f>
        <v>0</v>
      </c>
    </row>
  </sheetData>
  <mergeCells count="3">
    <mergeCell ref="A1:E1"/>
    <mergeCell ref="A2:E2"/>
    <mergeCell ref="C18:D18"/>
  </mergeCells>
  <dataValidations count="1">
    <dataValidation allowBlank="true" errorStyle="stop" operator="between" showDropDown="false" showErrorMessage="false" showInputMessage="false" sqref="C5:C16"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8"/>
    <col collapsed="false" customWidth="true" hidden="false" outlineLevel="0" max="3" min="3" style="0" width="11"/>
    <col collapsed="false" customWidth="true" hidden="false" outlineLevel="0" max="4" min="4" style="0" width="46"/>
  </cols>
  <sheetData>
    <row r="1" customFormat="false" ht="24" hidden="false" customHeight="true" outlineLevel="0" collapsed="false">
      <c r="A1" s="1" t="s">
        <v>80</v>
      </c>
      <c r="B1" s="1"/>
      <c r="C1" s="1"/>
      <c r="D1" s="1"/>
    </row>
    <row r="2" customFormat="false" ht="31.5" hidden="false" customHeight="true" outlineLevel="0" collapsed="false">
      <c r="A2" s="2" t="s">
        <v>81</v>
      </c>
      <c r="B2" s="2"/>
      <c r="C2" s="2"/>
      <c r="D2" s="2"/>
    </row>
    <row r="4" customFormat="false" ht="30" hidden="false" customHeight="true" outlineLevel="0" collapsed="false">
      <c r="A4" s="6" t="s">
        <v>82</v>
      </c>
      <c r="B4" s="6" t="s">
        <v>83</v>
      </c>
      <c r="C4" s="6" t="s">
        <v>60</v>
      </c>
      <c r="D4" s="6" t="s">
        <v>61</v>
      </c>
    </row>
    <row r="5" customFormat="false" ht="69.75" hidden="false" customHeight="true" outlineLevel="0" collapsed="false">
      <c r="A5" s="5" t="s">
        <v>84</v>
      </c>
      <c r="B5" s="4" t="s">
        <v>85</v>
      </c>
      <c r="C5" s="10" t="inlineStr">
        <is>
          <t>Partial</t>
        </is>
      </c>
      <c r="D5" s="10" t="inlineStr">
        <is>
          <t>docker-compose.yml; README.md; test-pack/pytest-submission-run.log; REPORT.md</t>
        </is>
      </c>
    </row>
    <row r="6" customFormat="false" ht="27.75" hidden="false" customHeight="true" outlineLevel="0" collapsed="false">
      <c r="A6" s="5" t="s">
        <v>86</v>
      </c>
      <c r="B6" s="4" t="s">
        <v>87</v>
      </c>
      <c r="C6" s="10" t="inlineStr">
        <is>
          <t>Partial</t>
        </is>
      </c>
      <c r="D6" s="10" t="inlineStr">
        <is>
          <t>openapi.yaml; tests/test_api.py; test-pack/pytest-submission-run.log</t>
        </is>
      </c>
    </row>
    <row r="7" customFormat="false" ht="69.75" hidden="false" customHeight="true" outlineLevel="0" collapsed="false">
      <c r="A7" s="5" t="s">
        <v>88</v>
      </c>
      <c r="B7" s="4" t="s">
        <v>89</v>
      </c>
      <c r="C7" s="10" t="inlineStr">
        <is>
          <t>Yes</t>
        </is>
      </c>
      <c r="D7" s="10" t="inlineStr">
        <is>
          <t>app/jobs.py; app/main.py; tests/test_api.py; test-pack/pytest-submission-results.xml</t>
        </is>
      </c>
    </row>
    <row r="8" customFormat="false" ht="42" hidden="false" customHeight="true" outlineLevel="0" collapsed="false">
      <c r="A8" s="5" t="s">
        <v>90</v>
      </c>
      <c r="B8" s="4" t="s">
        <v>91</v>
      </c>
      <c r="C8" s="10" t="inlineStr">
        <is>
          <t>Yes</t>
        </is>
      </c>
      <c r="D8" s="10" t="inlineStr">
        <is>
          <t>app/main.py; app/database.py; tests/test_api.py; tests/test_failures.py; test-pack/pytest-submission-results.xml</t>
        </is>
      </c>
    </row>
    <row r="9" customFormat="false" ht="42" hidden="false" customHeight="true" outlineLevel="0" collapsed="false">
      <c r="A9" s="5" t="s">
        <v>92</v>
      </c>
      <c r="B9" s="4" t="s">
        <v>93</v>
      </c>
      <c r="C9" s="10" t="inlineStr">
        <is>
          <t>Yes</t>
        </is>
      </c>
      <c r="D9" s="10" t="inlineStr">
        <is>
          <t>app/errors.py; README.md; tests/test_api.py; tests/test_failures.py; test-pack/pytest-submission-results.xml</t>
        </is>
      </c>
    </row>
    <row r="10" customFormat="false" ht="42" hidden="false" customHeight="true" outlineLevel="0" collapsed="false">
      <c r="A10" s="5" t="s">
        <v>94</v>
      </c>
      <c r="B10" s="4" t="s">
        <v>95</v>
      </c>
      <c r="C10" s="10" t="inlineStr">
        <is>
          <t>Yes</t>
        </is>
      </c>
      <c r="D10" s="10" t="inlineStr">
        <is>
          <t>app/config.py; .env.example; tests/test_api.py; test-pack/pytest-submission-results.xml</t>
        </is>
      </c>
    </row>
    <row r="11" customFormat="false" ht="42" hidden="false" customHeight="true" outlineLevel="0" collapsed="false">
      <c r="A11" s="5" t="s">
        <v>96</v>
      </c>
      <c r="B11" s="4" t="s">
        <v>97</v>
      </c>
      <c r="C11" s="10" t="inlineStr">
        <is>
          <t>Partial</t>
        </is>
      </c>
      <c r="D11" s="10" t="inlineStr">
        <is>
          <t>app/storage.py; docker-compose.yml; tests/test_api.py; REPORT.md</t>
        </is>
      </c>
    </row>
    <row r="12" customFormat="false" ht="42" hidden="false" customHeight="true" outlineLevel="0" collapsed="false">
      <c r="A12" s="5" t="s">
        <v>98</v>
      </c>
      <c r="B12" s="4" t="s">
        <v>99</v>
      </c>
      <c r="C12" s="10" t="inlineStr">
        <is>
          <t>Yes</t>
        </is>
      </c>
      <c r="D12" s="10" t="inlineStr">
        <is>
          <t>app/main.py; app/config.py; tests/test_api.py; test-pack/pytest-submission-results.xml</t>
        </is>
      </c>
    </row>
    <row r="13" customFormat="false" ht="55.5" hidden="false" customHeight="true" outlineLevel="0" collapsed="false">
      <c r="A13" s="5" t="s">
        <v>100</v>
      </c>
      <c r="B13" s="4" t="s">
        <v>101</v>
      </c>
      <c r="C13" s="10" t="inlineStr">
        <is>
          <t>Yes</t>
        </is>
      </c>
      <c r="D13" s="10" t="inlineStr">
        <is>
          <t>app/jobs.py; app/storage.py; tests/test_api.py; test-pack/pytest-submission-results.xml</t>
        </is>
      </c>
    </row>
    <row r="14" customFormat="false" ht="55.5" hidden="false" customHeight="true" outlineLevel="0" collapsed="false">
      <c r="A14" s="5" t="s">
        <v>102</v>
      </c>
      <c r="B14" s="4" t="s">
        <v>103</v>
      </c>
      <c r="C14" s="10" t="inlineStr">
        <is>
          <t>Partial</t>
        </is>
      </c>
      <c r="D14" s="10" t="inlineStr">
        <is>
          <t>app/batch.py; README.md; REPORT.md</t>
        </is>
      </c>
    </row>
    <row r="15" customFormat="false" ht="15" hidden="false" customHeight="false" outlineLevel="0" collapsed="false">
      <c r="B15" s="5" t="s">
        <v>104</v>
      </c>
      <c r="C15" s="8">
        <f aca="false">COUNTIF(C5:C14,"Yes")*2+COUNTIF(C5:C14,"Partial")</f>
        <v>17</v>
      </c>
    </row>
  </sheetData>
  <mergeCells count="2">
    <mergeCell ref="A1:D1"/>
    <mergeCell ref="A2:D2"/>
  </mergeCells>
  <dataValidations count="1">
    <dataValidation allowBlank="true" errorStyle="stop" operator="between" showDropDown="false" showErrorMessage="false" showInputMessage="false" sqref="C5:C14"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20"/>
    <col collapsed="false" customWidth="true" hidden="false" outlineLevel="0" max="4" min="4" style="0" width="34"/>
    <col collapsed="false" customWidth="true" hidden="false" outlineLevel="0" max="5" min="5" style="0" width="40"/>
  </cols>
  <sheetData>
    <row r="1" customFormat="false" ht="24" hidden="false" customHeight="true" outlineLevel="0" collapsed="false">
      <c r="A1" s="1" t="s">
        <v>105</v>
      </c>
      <c r="B1" s="1"/>
      <c r="C1" s="1"/>
      <c r="D1" s="1"/>
      <c r="E1" s="1"/>
    </row>
    <row r="2" customFormat="false" ht="31.5" hidden="false" customHeight="true" outlineLevel="0" collapsed="false">
      <c r="A2" s="2" t="s">
        <v>106</v>
      </c>
      <c r="B2" s="2"/>
      <c r="C2" s="2"/>
      <c r="D2" s="2"/>
      <c r="E2" s="2"/>
    </row>
    <row r="4" customFormat="false" ht="30" hidden="false" customHeight="true" outlineLevel="0" collapsed="false">
      <c r="A4" s="6" t="s">
        <v>107</v>
      </c>
      <c r="B4" s="6" t="s">
        <v>108</v>
      </c>
      <c r="C4" s="6" t="s">
        <v>109</v>
      </c>
      <c r="D4" s="6" t="s">
        <v>110</v>
      </c>
      <c r="E4" s="6" t="s">
        <v>61</v>
      </c>
    </row>
    <row r="5" customFormat="false" ht="27.75" hidden="false" customHeight="true" outlineLevel="0" collapsed="false">
      <c r="A5" s="5" t="s">
        <v>111</v>
      </c>
      <c r="B5" s="4" t="s">
        <v>112</v>
      </c>
      <c r="C5" s="10" t="inlineStr">
        <is>
          <t>Simulation: 6/6 certification workflows succeeded (5 automated publish/status/delete; 1 assisted pack); live certifications: 0; duration: Not measured.</t>
        </is>
      </c>
      <c r="D5" s="10" t="inlineStr">
        <is>
          <t>One pytest run, Python 3.12 environment; hardware specs not captured. Simulation only.</t>
        </is>
      </c>
      <c r="E5" s="10" t="inlineStr">
        <is>
          <t>tests/test_api.py::test_certification_runs_all_six_simulated_connectors_and_stores_evidence; test-pack/pytest-submission-results.xml</t>
        </is>
      </c>
    </row>
    <row r="6" customFormat="false" ht="42" hidden="false" customHeight="true" outlineLevel="0" collapsed="false">
      <c r="A6" s="5" t="s">
        <v>113</v>
      </c>
      <c r="B6" s="4" t="s">
        <v>114</v>
      </c>
      <c r="C6" s="10" t="inlineStr">
        <is>
          <t>Simulation: 6/6 certification workflows succeeded; forced timeout/same-key retry: 0 duplicate dispatches in 1 case. Local/live publish rate: Not measured.</t>
        </is>
      </c>
      <c r="D6" s="10" t="inlineStr">
        <is>
          <t>One pytest run; mocked/simulated paths, no provider accounts or local instances.</t>
        </is>
      </c>
      <c r="E6" s="10" t="inlineStr">
        <is>
          <t>tests/test_api.py::test_certification_runs_all_six_simulated_connectors_and_stores_evidence; tests/test_failures.py::test_connector_publish_timeout_is_cached_without_a_duplicate_call; test-pack/pytest-submission-results.xml</t>
        </is>
      </c>
    </row>
    <row r="7" customFormat="false" ht="27.75" hidden="false" customHeight="true" outlineLevel="0" collapsed="false">
      <c r="A7" s="5" t="s">
        <v>115</v>
      </c>
      <c r="B7" s="4" t="s">
        <v>116</v>
      </c>
      <c r="C7" s="10" t="inlineStr">
        <is>
          <t>Not measured as a complete labeled rule set; individual violation cases passed; total caught/missed is unknown.</t>
        </is>
      </c>
      <c r="D7" s="10" t="inlineStr">
        <is>
          <t>One pytest run; no exhaustive labeled rule corpus.</t>
        </is>
      </c>
      <c r="E7" s="10" t="inlineStr">
        <is>
          <t>tests/test_api.py::test_rule_policy_blocks_second_post_and_promotion; tests/test_policy.py; test-pack/pytest-submission-results.xml</t>
        </is>
      </c>
    </row>
    <row r="8" customFormat="false" ht="27.75" hidden="false" customHeight="true" outlineLevel="0" collapsed="false">
      <c r="A8" s="5" t="s">
        <v>117</v>
      </c>
      <c r="B8" s="4" t="s">
        <v>118</v>
      </c>
      <c r="C8" s="10" t="inlineStr">
        <is>
          <t>1,000-row test: 1,000 imported, 0 duplicates, 0 errors; elapsed asserted &lt;300 seconds (exact duration not retained).</t>
        </is>
      </c>
      <c r="D8" s="10" t="inlineStr">
        <is>
          <t>One pytest run; reachability stubbed; Python 3.12; machine specs not captured.</t>
        </is>
      </c>
      <c r="E8" s="10" t="inlineStr">
        <is>
          <t>tests/test_catalogue.py::test_thousand_rows_meet_five_minute_import_target; test-pack/pytest-submission-results.xml</t>
        </is>
      </c>
    </row>
    <row r="9" customFormat="false" ht="19.5" hidden="false" customHeight="true" outlineLevel="0" collapsed="false">
      <c r="A9" s="5" t="s">
        <v>119</v>
      </c>
      <c r="B9" s="4" t="s">
        <v>120</v>
      </c>
      <c r="C9" s="10" t="inlineStr">
        <is>
          <t>Not measured for top 10. One labeled case at k=1 returned P@1=1.0.</t>
        </is>
      </c>
      <c r="D9" s="10" t="inlineStr">
        <is>
          <t>One synthetic/test labeled case; not a representative benchmark.</t>
        </is>
      </c>
      <c r="E9" s="10" t="inlineStr">
        <is>
          <t>tests/test_api.py::test_recommendation_evaluation_uses_labeled_cases; test-pack/pytest-submission-results.xml</t>
        </is>
      </c>
    </row>
    <row r="10" customFormat="false" ht="19.5" hidden="false" customHeight="true" outlineLevel="0" collapsed="false">
      <c r="A10" s="5" t="s">
        <v>121</v>
      </c>
      <c r="B10" s="4" t="s">
        <v>122</v>
      </c>
      <c r="C10" s="10" t="inlineStr">
        <is>
          <t>Not measured per 1,000 publications (including compute/hosting). Default simulation made no external API/model calls.</t>
        </is>
      </c>
      <c r="D10" s="10" t="inlineStr">
        <is>
          <t>No paid external API/model run; local compute and hosting cost not measured.</t>
        </is>
      </c>
      <c r="E10" s="10" t="inlineStr">
        <is>
          <t>REPORT.md; app/jobs.py (simulation manifest reports zero external estimate, not total operating cost)</t>
        </is>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1"/>
    <col collapsed="false" customWidth="true" hidden="false" outlineLevel="0" max="4" min="4" style="0" width="50"/>
    <col collapsed="false" customWidth="true" hidden="false" outlineLevel="0" max="5" min="5" style="0" width="40"/>
  </cols>
  <sheetData>
    <row r="1" customFormat="false" ht="24" hidden="false" customHeight="true" outlineLevel="0" collapsed="false">
      <c r="A1" s="1" t="s">
        <v>123</v>
      </c>
      <c r="B1" s="1"/>
      <c r="C1" s="1"/>
      <c r="D1" s="1"/>
      <c r="E1" s="1"/>
    </row>
    <row r="2" customFormat="false" ht="31.5" hidden="false" customHeight="true" outlineLevel="0" collapsed="false">
      <c r="A2" s="2" t="s">
        <v>124</v>
      </c>
      <c r="B2" s="2"/>
      <c r="C2" s="2"/>
      <c r="D2" s="2"/>
      <c r="E2" s="2"/>
    </row>
    <row r="4" customFormat="false" ht="30" hidden="false" customHeight="true" outlineLevel="0" collapsed="false">
      <c r="A4" s="6" t="s">
        <v>37</v>
      </c>
      <c r="B4" s="6" t="s">
        <v>125</v>
      </c>
      <c r="C4" s="6" t="s">
        <v>126</v>
      </c>
      <c r="D4" s="6" t="s">
        <v>127</v>
      </c>
      <c r="E4" s="6" t="s">
        <v>61</v>
      </c>
    </row>
    <row r="5" customFormat="false" ht="27.75" hidden="false" customHeight="true" outlineLevel="0" collapsed="false">
      <c r="A5" s="4" t="n">
        <v>1</v>
      </c>
      <c r="B5" s="4" t="s">
        <v>128</v>
      </c>
      <c r="C5" s="10" t="inlineStr">
        <is>
          <t>Yes</t>
        </is>
      </c>
      <c r="D5" s="10" t="inlineStr">
        <is>
          <t>Forced timeout raises an outcome-unknown retryable error; same idempotency key returns cached error and dispatch runs once.</t>
        </is>
      </c>
      <c r="E5" s="10" t="inlineStr">
        <is>
          <t>tests/test_failures.py::test_connector_publish_timeout_is_cached_without_a_duplicate_call; test-pack/pytest-submission-results.xml</t>
        </is>
      </c>
    </row>
    <row r="6" customFormat="false" ht="27.75" hidden="false" customHeight="true" outlineLevel="0" collapsed="false">
      <c r="A6" s="4" t="n">
        <v>2</v>
      </c>
      <c r="B6" s="4" t="s">
        <v>129</v>
      </c>
      <c r="C6" s="10" t="inlineStr">
        <is>
          <t>Yes</t>
        </is>
      </c>
      <c r="D6" s="10" t="inlineStr">
        <is>
          <t>One 429 honors Retry-After and retries once; 401, 422, and 503 map to shared codes. Unit/mock HTTP tests only.</t>
        </is>
      </c>
      <c r="E6" s="10" t="inlineStr">
        <is>
          <t>tests/test_failures.py::test_rate_limit_wait_uses_retry_after_and_retries_once; tests/test_failures.py::test_platform_errors_map_to_shared_codes; test-pack/pytest-submission-results.xml</t>
        </is>
      </c>
    </row>
    <row r="7" customFormat="false" ht="27.75" hidden="false" customHeight="true" outlineLevel="0" collapsed="false">
      <c r="A7" s="4" t="n">
        <v>3</v>
      </c>
      <c r="B7" s="4" t="s">
        <v>130</v>
      </c>
      <c r="C7" s="10" t="inlineStr">
        <is>
          <t>No</t>
        </is>
      </c>
      <c r="D7" s="10" t="inlineStr">
        <is>
          <t>Overlong title/media are validated and title truncation is tested; overlong body behavior lacks a dedicated test.</t>
        </is>
      </c>
      <c r="E7" s="10" t="inlineStr">
        <is>
          <t>tests/test_policy.py::test_format_and_media_constraints_are_field_level; tests/test_policy.py::test_tailoring_stops_title_at_word_boundary_and_adds_disclosure</t>
        </is>
      </c>
    </row>
    <row r="8" customFormat="false" ht="42" hidden="false" customHeight="true" outlineLevel="0" collapsed="false">
      <c r="A8" s="4" t="n">
        <v>4</v>
      </c>
      <c r="B8" s="4" t="s">
        <v>131</v>
      </c>
      <c r="C8" s="10" t="inlineStr">
        <is>
          <t>Yes</t>
        </is>
      </c>
      <c r="D8" s="10" t="inlineStr">
        <is>
          <t>Promotional content is blocked and the second publication inside the configured cap fails with DEST_RULE_FREQUENCY_CAP.</t>
        </is>
      </c>
      <c r="E8" s="10" t="inlineStr">
        <is>
          <t>tests/test_api.py::test_rule_policy_blocks_second_post_and_promotion; test-pack/pytest-submission-results.xml</t>
        </is>
      </c>
    </row>
    <row r="9" customFormat="false" ht="42" hidden="false" customHeight="true" outlineLevel="0" collapsed="false">
      <c r="A9" s="4" t="n">
        <v>5</v>
      </c>
      <c r="B9" s="4" t="s">
        <v>132</v>
      </c>
      <c r="C9" s="10" t="inlineStr">
        <is>
          <t>No</t>
        </is>
      </c>
      <c r="D9" s="10" t="inlineStr">
        <is>
          <t>Certification status failure triggers cleanup and persists failed evidence; API field rename and demotion of a previously certified destination are not tested.</t>
        </is>
      </c>
      <c r="E9" s="10" t="inlineStr">
        <is>
          <t>tests/test_failures.py::test_certification_attempts_cleanup_and_persists_failed_evidence; REQUIREMENTS.md</t>
        </is>
      </c>
    </row>
    <row r="10" customFormat="false" ht="27.75" hidden="false" customHeight="true" outlineLevel="0" collapsed="false">
      <c r="A10" s="4" t="n">
        <v>6</v>
      </c>
      <c r="B10" s="4" t="s">
        <v>133</v>
      </c>
      <c r="C10" s="10" t="inlineStr">
        <is>
          <t>No</t>
        </is>
      </c>
      <c r="D10" s="10" t="inlineStr">
        <is>
          <t>CSV duplicate, malformed URL, and language cases are tested with reachability mocked; partner permission revocation flow is not tested.</t>
        </is>
      </c>
      <c r="E10" s="10" t="inlineStr">
        <is>
          <t>tests/test_catalogue.py; test-pack/pytest-submission-results.xml; REQUIREMENTS.md</t>
        </is>
      </c>
    </row>
    <row r="11" customFormat="false" ht="27.75" hidden="false" customHeight="true" outlineLevel="0" collapsed="false">
      <c r="A11" s="4" t="n">
        <v>7</v>
      </c>
      <c r="B11" s="4" t="s">
        <v>134</v>
      </c>
      <c r="C11" s="10" t="inlineStr">
        <is>
          <t>No</t>
        </is>
      </c>
      <c r="D11" s="10" t="inlineStr">
        <is>
          <t>Required AI disclosure insertion is tested; non-English publication flow/tailoring is not tested end to end.</t>
        </is>
      </c>
      <c r="E11" s="10" t="inlineStr">
        <is>
          <t>tests/test_api.py::test_publication_adds_missing_required_ai_disclosure; tests/test_catalogue.py; REQUIREMENTS.md</t>
        </is>
      </c>
    </row>
  </sheetData>
  <mergeCells count="2">
    <mergeCell ref="A1:E1"/>
    <mergeCell ref="A2:E2"/>
  </mergeCells>
  <dataValidations count="1">
    <dataValidation allowBlank="true" errorStyle="stop" operator="between" showDropDown="false" showErrorMessage="false" showInputMessage="false" sqref="C5:C1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14"/>
  </cols>
  <sheetData>
    <row r="1" customFormat="false" ht="24" hidden="false" customHeight="true" outlineLevel="0" collapsed="false">
      <c r="A1" s="1" t="s">
        <v>135</v>
      </c>
      <c r="B1" s="1"/>
    </row>
    <row r="2" customFormat="false" ht="31.5" hidden="false" customHeight="true" outlineLevel="0" collapsed="false">
      <c r="A2" s="2" t="s">
        <v>136</v>
      </c>
      <c r="B2" s="2"/>
    </row>
    <row r="4" customFormat="false" ht="19.5" hidden="false" customHeight="true" outlineLevel="0" collapsed="false">
      <c r="A4" s="4" t="s">
        <v>137</v>
      </c>
      <c r="B4" s="10"/>
    </row>
    <row r="5" customFormat="false" ht="19.5" hidden="false" customHeight="true" outlineLevel="0" collapsed="false">
      <c r="A5" s="4" t="s">
        <v>138</v>
      </c>
      <c r="B5" s="10"/>
    </row>
    <row r="6" customFormat="false" ht="19.5" hidden="false" customHeight="true" outlineLevel="0" collapsed="false">
      <c r="A6" s="4" t="s">
        <v>139</v>
      </c>
      <c r="B6" s="10"/>
    </row>
    <row r="7" customFormat="false" ht="19.5" hidden="false" customHeight="true" outlineLevel="0" collapsed="false">
      <c r="A7" s="4" t="s">
        <v>140</v>
      </c>
      <c r="B7" s="10"/>
    </row>
    <row r="8" customFormat="false" ht="19.5" hidden="false" customHeight="true" outlineLevel="0" collapsed="false">
      <c r="A8" s="4" t="s">
        <v>141</v>
      </c>
      <c r="B8" s="10"/>
    </row>
    <row r="9" customFormat="false" ht="19.5" hidden="false" customHeight="true" outlineLevel="0" collapsed="false">
      <c r="A9" s="4" t="s">
        <v>142</v>
      </c>
      <c r="B9" s="10"/>
    </row>
    <row r="10" customFormat="false" ht="19.5" hidden="false" customHeight="true" outlineLevel="0" collapsed="false">
      <c r="A10" s="4" t="s">
        <v>143</v>
      </c>
      <c r="B10" s="10"/>
    </row>
    <row r="11" customFormat="false" ht="19.5" hidden="false" customHeight="true" outlineLevel="0" collapsed="false">
      <c r="A11" s="4" t="s">
        <v>144</v>
      </c>
      <c r="B11" s="10"/>
    </row>
    <row r="12" customFormat="false" ht="15" hidden="false" customHeight="false" outlineLevel="0" collapsed="false">
      <c r="A12" s="5" t="s">
        <v>145</v>
      </c>
      <c r="B12" s="10"/>
    </row>
    <row r="13" customFormat="false" ht="15" hidden="false" customHeight="false" outlineLevel="0" collapsed="false">
      <c r="A13" s="5" t="s">
        <v>146</v>
      </c>
      <c r="B13" s="10"/>
    </row>
  </sheetData>
  <mergeCells count="2">
    <mergeCell ref="A1:B1"/>
    <mergeCell ref="A2:B2"/>
  </mergeCells>
  <dataValidations count="1">
    <dataValidation allowBlank="true" errorStyle="stop" operator="between" showDropDown="false" showErrorMessage="false" showInputMessage="false" sqref="B4:B1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2026-10-13T08:20:02Z</dcterms:created>
  <dc:creator>openpyxl</dc:creator>
  <dc:description/>
  <dc:language>en-US</dc:language>
  <cp:lastModifiedBy/>
  <dcterms:modified xsi:type="dcterms:W3CDTF">2026-10-13T08:20:02Z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